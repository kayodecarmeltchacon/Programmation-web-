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e7fc9077fab229/Desktop/ROMUL/Programmation web/"/>
    </mc:Choice>
  </mc:AlternateContent>
  <xr:revisionPtr revIDLastSave="13" documentId="8_{2472B6FB-C3E0-4CAD-820D-A11367182341}" xr6:coauthVersionLast="47" xr6:coauthVersionMax="47" xr10:uidLastSave="{0B65024A-F2A3-4DFF-A9D6-EF74489F634B}"/>
  <bookViews>
    <workbookView xWindow="-108" yWindow="-108" windowWidth="23256" windowHeight="13176" xr2:uid="{C77CB871-B286-4757-BCFB-D1F20D7638F5}"/>
  </bookViews>
  <sheets>
    <sheet name="TP1(Carmel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<sst xmlns="http://schemas.openxmlformats.org/spreadsheetml/2006/main" count="16" uniqueCount="15">
  <si>
    <t>ID</t>
  </si>
  <si>
    <t>Température</t>
  </si>
  <si>
    <t>Humidité</t>
  </si>
  <si>
    <t>Commande</t>
  </si>
  <si>
    <t>START</t>
  </si>
  <si>
    <t>STOP</t>
  </si>
  <si>
    <t>FEU</t>
  </si>
  <si>
    <t>NORMAL</t>
  </si>
  <si>
    <t>ALERTE</t>
  </si>
  <si>
    <t>score</t>
  </si>
  <si>
    <t>Etat</t>
  </si>
  <si>
    <t>Risque environementale</t>
  </si>
  <si>
    <t>Interpretation des commande</t>
  </si>
  <si>
    <t>Analyse de performance</t>
  </si>
  <si>
    <t>Décission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</si>
</sst>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296409-1560-47FE-9B49-0352C83A0491}" name="Tableau1" displayName="Tableau1" ref="A1:J6" totalsRowShown="0" headerRowDxfId="14" dataDxfId="13">
  <autoFilter ref="A1:J6" xr:uid="{24296409-1560-47FE-9B49-0352C83A0491}"/>
  <tableColumns count="10">
    <tableColumn id="1" xr3:uid="{DE0FE0DF-4F0F-474F-B4A7-E8F575E44B69}" name="ID" dataDxfId="12"/>
    <tableColumn id="2" xr3:uid="{9F8FBD40-40E2-44C8-937F-1EBD50B7F0FF}" name="Température" dataDxfId="11"/>
    <tableColumn id="3" xr3:uid="{5E365A14-6912-4848-B93B-E680D614C8E0}" name="Humidité" dataDxfId="10"/>
    <tableColumn id="4" xr3:uid="{F7DF356F-C4E2-4542-9515-692F07234517}" name="Commande" dataDxfId="9"/>
    <tableColumn id="5" xr3:uid="{FD5AC609-3615-4E5E-AD7D-2AB6371AF115}" name="score" dataDxfId="8"/>
    <tableColumn id="6" xr3:uid="{A77BBE2A-2ADE-424C-B9D2-D0EDEE15044F}" name="Etat" dataDxfId="7">
      <calculatedColumnFormula>IF(B2&gt;35,"ALERTE CHALEUR","OK")</calculatedColumnFormula>
    </tableColumn>
    <tableColumn id="7" xr3:uid="{9F0809F1-96A2-4047-8C14-341E1C7B02B6}" name="Risque environementale" dataDxfId="6">
      <calculatedColumnFormula>IF(AND(B2&gt;30,C2&gt;70),"RISQUE ELEVE","STABLE")</calculatedColumnFormula>
    </tableColumn>
    <tableColumn id="8" xr3:uid="{C63EEDCF-3CC4-45C3-BE66-93EFCF6F4AC1}" name="Interpretation des commande" dataDxfId="5">
      <calculatedColumnFormula>IF(D2="START","Marchine activée",IF(D2="STOP","Marchine arrêtée",IF(OR(D2="FEU",D2="ALERTE"),"Declencher alarme","Commande inconnue")))</calculatedColumnFormula>
    </tableColumn>
    <tableColumn id="9" xr3:uid="{EB3B2738-B446-416E-9A2B-8BA8C73AB2AC}" name="Analyse de performance" dataDxfId="4">
      <calculatedColumnFormula>IF(E2&lt;10,"Faible",IF(E2&lt;15,"Moyen","Excellent"))</calculatedColumnFormula>
    </tableColumn>
    <tableColumn id="10" xr3:uid="{ED9BE5A7-9A16-4035-B927-C815767DF674}" name="Décission" dataDxfId="3">
      <calculatedColumnFormula>IF(OR(D2="FEU",B2&gt;37),"URGENCE",IF(E2&lt;10,"SURVEILLANCE","NORMAL"))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B2436-CEDD-411A-9D64-277AD8BFE165}">
  <sheetPr codeName="Feuil1"/>
  <dimension ref="A1:J13"/>
  <sheetViews>
    <sheetView tabSelected="1" workbookViewId="0">
      <selection activeCell="E5" sqref="E5"/>
    </sheetView>
  </sheetViews>
  <sheetFormatPr baseColWidth="10" defaultRowHeight="14.4" x14ac:dyDescent="0.3"/>
  <cols>
    <col min="1" max="1" width="5.109375" customWidth="1"/>
    <col min="2" max="2" width="14" customWidth="1"/>
    <col min="4" max="4" width="12.21875" customWidth="1"/>
    <col min="6" max="6" width="15.5546875" customWidth="1"/>
    <col min="7" max="7" width="23.77734375" customWidth="1"/>
    <col min="8" max="8" width="27.109375" customWidth="1"/>
    <col min="9" max="9" width="22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3">
      <c r="A2" s="1">
        <v>1</v>
      </c>
      <c r="B2" s="1">
        <v>32</v>
      </c>
      <c r="C2" s="1">
        <v>65</v>
      </c>
      <c r="D2" s="1" t="s">
        <v>4</v>
      </c>
      <c r="E2" s="1">
        <v>12</v>
      </c>
      <c r="F2" s="1" t="str">
        <f>IF(B2&gt;35,"ALERTE CHALEUR","OK")</f>
        <v>OK</v>
      </c>
      <c r="G2" s="1" t="str">
        <f>IF(AND(B2&gt;30,C2&gt;70),"RISQUE ELEVE","STABLE")</f>
        <v>STABLE</v>
      </c>
      <c r="H2" s="1" t="str">
        <f>IF(D2="START","Marchine activée",IF(D2="STOP","Marchine arrêtée",IF(OR(D2="FEU",D2="ALERTE"),"Declencher alarme","Commande inconnue")))</f>
        <v>Marchine activée</v>
      </c>
      <c r="I2" s="1" t="str">
        <f>IF(E2&lt;10,"Faible",IF(E2&lt;15,"Moyen","Excellent"))</f>
        <v>Moyen</v>
      </c>
      <c r="J2" s="1" t="str">
        <f>IF(OR(D2="FEU",B2&gt;37),"URGENCE",IF(E2&lt;10,"SURVEILLANCE","NORMAL"))</f>
        <v>NORMAL</v>
      </c>
    </row>
    <row r="3" spans="1:10" x14ac:dyDescent="0.3">
      <c r="A3" s="1">
        <v>2</v>
      </c>
      <c r="B3" s="1">
        <v>38</v>
      </c>
      <c r="C3" s="1">
        <v>75</v>
      </c>
      <c r="D3" s="1" t="s">
        <v>5</v>
      </c>
      <c r="E3" s="1">
        <v>8</v>
      </c>
      <c r="F3" s="1" t="str">
        <f t="shared" ref="F3:F6" si="0">IF(B3&gt;35,"ALERTE CHALEUR","OK")</f>
        <v>ALERTE CHALEUR</v>
      </c>
      <c r="G3" s="1" t="str">
        <f t="shared" ref="G3:G6" si="1">IF(AND(B3&gt;30,C3&gt;70),"RISQUE ELEVE","STABLE")</f>
        <v>RISQUE ELEVE</v>
      </c>
      <c r="H3" s="1" t="str">
        <f t="shared" ref="H3:H6" si="2">IF(D3="START","Marchine activée",IF(D3="STOP","Marchine arrêtée",IF(OR(D3="FEU",D3="ALERTE"),"Declencher alarme","Commande inconnue")))</f>
        <v>Marchine arrêtée</v>
      </c>
      <c r="I3" s="1" t="str">
        <f t="shared" ref="I3:I6" si="3">IF(E3&lt;10,"Faible",IF(E3&lt;15,"Moyen","Excellent"))</f>
        <v>Faible</v>
      </c>
      <c r="J3" s="1" t="str">
        <f t="shared" ref="J3:J6" si="4">IF(OR(D3="FEU",B3&gt;37),"URGENCE",IF(E3&lt;10,"SURVEILLANCE","NORMAL"))</f>
        <v>URGENCE</v>
      </c>
    </row>
    <row r="4" spans="1:10" x14ac:dyDescent="0.3">
      <c r="A4" s="1">
        <v>3</v>
      </c>
      <c r="B4" s="1">
        <v>28</v>
      </c>
      <c r="C4" s="1">
        <v>80</v>
      </c>
      <c r="D4" s="1" t="s">
        <v>6</v>
      </c>
      <c r="E4" s="1">
        <v>16</v>
      </c>
      <c r="F4" s="1" t="str">
        <f t="shared" si="0"/>
        <v>OK</v>
      </c>
      <c r="G4" s="1" t="str">
        <f t="shared" si="1"/>
        <v>STABLE</v>
      </c>
      <c r="H4" s="1" t="str">
        <f t="shared" si="2"/>
        <v>Declencher alarme</v>
      </c>
      <c r="I4" s="1" t="str">
        <f t="shared" si="3"/>
        <v>Excellent</v>
      </c>
      <c r="J4" s="1" t="str">
        <f t="shared" si="4"/>
        <v>URGENCE</v>
      </c>
    </row>
    <row r="5" spans="1:10" x14ac:dyDescent="0.3">
      <c r="A5" s="1">
        <v>4</v>
      </c>
      <c r="B5" s="1">
        <v>36</v>
      </c>
      <c r="C5" s="1">
        <v>72</v>
      </c>
      <c r="D5" s="1" t="s">
        <v>7</v>
      </c>
      <c r="E5" s="1">
        <v>14</v>
      </c>
      <c r="F5" s="1" t="str">
        <f t="shared" si="0"/>
        <v>ALERTE CHALEUR</v>
      </c>
      <c r="G5" s="1" t="str">
        <f t="shared" si="1"/>
        <v>RISQUE ELEVE</v>
      </c>
      <c r="H5" s="1" t="str">
        <f t="shared" si="2"/>
        <v>Commande inconnue</v>
      </c>
      <c r="I5" s="1" t="str">
        <f t="shared" si="3"/>
        <v>Moyen</v>
      </c>
      <c r="J5" s="1" t="str">
        <f t="shared" si="4"/>
        <v>NORMAL</v>
      </c>
    </row>
    <row r="6" spans="1:10" x14ac:dyDescent="0.3">
      <c r="A6" s="1">
        <v>5</v>
      </c>
      <c r="B6" s="1">
        <v>40</v>
      </c>
      <c r="C6" s="1">
        <v>86</v>
      </c>
      <c r="D6" s="1" t="s">
        <v>8</v>
      </c>
      <c r="E6" s="1">
        <v>9</v>
      </c>
      <c r="F6" s="1" t="str">
        <f t="shared" si="0"/>
        <v>ALERTE CHALEUR</v>
      </c>
      <c r="G6" s="1" t="str">
        <f t="shared" si="1"/>
        <v>RISQUE ELEVE</v>
      </c>
      <c r="H6" s="1" t="str">
        <f t="shared" si="2"/>
        <v>Declencher alarme</v>
      </c>
      <c r="I6" s="1" t="str">
        <f t="shared" si="3"/>
        <v>Faible</v>
      </c>
      <c r="J6" s="1" t="str">
        <f t="shared" si="4"/>
        <v>URGENCE</v>
      </c>
    </row>
    <row r="11" spans="1:10" x14ac:dyDescent="0.3">
      <c r="I11" s="1"/>
    </row>
    <row r="13" spans="1:10" x14ac:dyDescent="0.3">
      <c r="G13" t="s">
        <v>6</v>
      </c>
    </row>
  </sheetData>
  <conditionalFormatting sqref="J2:J6">
    <cfRule type="containsText" dxfId="2" priority="1" operator="containsText" text="SURVEILLANCE">
      <formula>NOT(ISERROR(SEARCH("SURVEILLANCE",J2)))</formula>
    </cfRule>
    <cfRule type="containsText" dxfId="1" priority="2" operator="containsText" text="NORMAL">
      <formula>NOT(ISERROR(SEARCH("NORMAL",J2)))</formula>
    </cfRule>
    <cfRule type="containsText" dxfId="0" priority="3" operator="containsText" text="URGENCE">
      <formula>NOT(ISERROR(SEARCH("URGENCE",J2)))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TP1(Carmel)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kayodecarmeltchacon@gmail.com</dc:creator>
  <cp:lastModifiedBy>kayodecarmeltchacon@gmail.com</cp:lastModifiedBy>
  <dcterms:created xsi:type="dcterms:W3CDTF">2026-04-02T19:08:43Z</dcterms:created>
  <dcterms:modified xsi:type="dcterms:W3CDTF">2026-04-04T07:37:51Z</dcterms:modified>
</cp:coreProperties>
</file>