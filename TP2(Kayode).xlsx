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7fc9077fab229/Desktop/ROMUL/Programmation web/"/>
    </mc:Choice>
  </mc:AlternateContent>
  <xr:revisionPtr revIDLastSave="0" documentId="8_{63D2D360-6CFD-4072-92C4-B60E535C134B}" xr6:coauthVersionLast="47" xr6:coauthVersionMax="47" xr10:uidLastSave="{00000000-0000-0000-0000-000000000000}"/>
  <bookViews>
    <workbookView xWindow="-108" yWindow="-108" windowWidth="23256" windowHeight="13176" xr2:uid="{66A8F2D3-44C8-499A-8C57-3AE3B2E01BB4}"/>
  </bookViews>
  <sheets>
    <sheet name="TP2(Carme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/>
  <c r="O4" i="1"/>
  <c r="P4" i="1"/>
  <c r="Q4" i="1"/>
  <c r="R4" i="1"/>
  <c r="S4" i="1"/>
  <c r="T4" i="1"/>
  <c r="L5" i="1"/>
  <c r="M5" i="1"/>
  <c r="N5" i="1"/>
  <c r="O5" i="1"/>
  <c r="P5" i="1"/>
  <c r="Q5" i="1"/>
  <c r="R5" i="1"/>
  <c r="S5" i="1"/>
  <c r="T5" i="1"/>
  <c r="L6" i="1"/>
  <c r="M6" i="1"/>
  <c r="N6" i="1"/>
  <c r="O6" i="1"/>
  <c r="P6" i="1"/>
  <c r="Q6" i="1"/>
  <c r="R6" i="1"/>
  <c r="S6" i="1"/>
  <c r="T6" i="1"/>
  <c r="L7" i="1"/>
  <c r="M7" i="1"/>
  <c r="N7" i="1"/>
  <c r="O7" i="1"/>
  <c r="P7" i="1"/>
  <c r="Q7" i="1"/>
  <c r="R7" i="1"/>
  <c r="S7" i="1"/>
  <c r="T7" i="1"/>
  <c r="M3" i="1"/>
  <c r="N3" i="1"/>
  <c r="O3" i="1"/>
  <c r="P3" i="1"/>
  <c r="Q3" i="1"/>
  <c r="R3" i="1"/>
  <c r="S3" i="1"/>
  <c r="T3" i="1"/>
  <c r="L3" i="1"/>
  <c r="U4" i="1"/>
  <c r="U5" i="1"/>
  <c r="U6" i="1"/>
  <c r="U7" i="1"/>
  <c r="U3" i="1"/>
  <c r="H5" i="1"/>
  <c r="H6" i="1"/>
  <c r="H7" i="1"/>
  <c r="H3" i="1"/>
  <c r="K3" i="1"/>
  <c r="K4" i="1"/>
  <c r="K5" i="1"/>
  <c r="K6" i="1"/>
  <c r="K7" i="1"/>
  <c r="J4" i="1"/>
  <c r="J5" i="1"/>
  <c r="J6" i="1"/>
  <c r="J7" i="1"/>
  <c r="J3" i="1"/>
  <c r="I4" i="1"/>
  <c r="H4" i="1" s="1"/>
  <c r="I5" i="1"/>
  <c r="I6" i="1"/>
  <c r="I7" i="1"/>
  <c r="I3" i="1"/>
</calcChain>
</file>

<file path=xl/sharedStrings.xml><?xml version="1.0" encoding="utf-8"?>
<sst xmlns="http://schemas.openxmlformats.org/spreadsheetml/2006/main" count="28" uniqueCount="26">
  <si>
    <t>ID</t>
  </si>
  <si>
    <t>Responsables</t>
  </si>
  <si>
    <t>Durée (Jours)</t>
  </si>
  <si>
    <t>Date de début</t>
  </si>
  <si>
    <t>Priorité</t>
  </si>
  <si>
    <t>charge</t>
  </si>
  <si>
    <t xml:space="preserve">Analyse </t>
  </si>
  <si>
    <t>Alice</t>
  </si>
  <si>
    <t>Haute</t>
  </si>
  <si>
    <t xml:space="preserve">Conception </t>
  </si>
  <si>
    <t>Bob</t>
  </si>
  <si>
    <t>Moyenne</t>
  </si>
  <si>
    <t>Développément</t>
  </si>
  <si>
    <t>Claire</t>
  </si>
  <si>
    <t>test</t>
  </si>
  <si>
    <t>David</t>
  </si>
  <si>
    <t>Basse</t>
  </si>
  <si>
    <t>Déploiement</t>
  </si>
  <si>
    <t>Emma</t>
  </si>
  <si>
    <t>Statut</t>
  </si>
  <si>
    <t>Tâches</t>
  </si>
  <si>
    <t xml:space="preserve">Date fin </t>
  </si>
  <si>
    <t>Niveau priorité numérique</t>
  </si>
  <si>
    <t>Alerte charge</t>
  </si>
  <si>
    <t>Calendrier</t>
  </si>
  <si>
    <t>Action récommendée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</si>
</sst>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1" xfId="1" applyFont="1" applyFill="1" applyAlignment="1">
      <alignment horizontal="center" vertical="center"/>
    </xf>
    <xf numFmtId="14" fontId="2" fillId="3" borderId="1" xfId="1" applyNumberFormat="1" applyFont="1" applyFill="1" applyAlignment="1">
      <alignment horizontal="center" vertical="center"/>
    </xf>
    <xf numFmtId="0" fontId="2" fillId="3" borderId="1" xfId="1" applyFont="1" applyFill="1"/>
    <xf numFmtId="0" fontId="2" fillId="3" borderId="1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1" applyFont="1" applyFill="1" applyAlignment="1">
      <alignment horizontal="left" vertical="center"/>
    </xf>
    <xf numFmtId="14" fontId="0" fillId="0" borderId="0" xfId="0" applyNumberFormat="1"/>
    <xf numFmtId="14" fontId="2" fillId="3" borderId="1" xfId="1" applyNumberFormat="1" applyFont="1" applyFill="1"/>
    <xf numFmtId="0" fontId="2" fillId="3" borderId="1" xfId="1" applyFont="1" applyFill="1" applyAlignment="1">
      <alignment horizontal="center" vertical="center" wrapText="1"/>
    </xf>
    <xf numFmtId="14" fontId="2" fillId="3" borderId="1" xfId="1" applyNumberFormat="1" applyFont="1" applyFill="1" applyAlignment="1">
      <alignment horizontal="center" wrapText="1"/>
    </xf>
    <xf numFmtId="0" fontId="2" fillId="3" borderId="1" xfId="1" applyFont="1" applyFill="1" applyAlignment="1">
      <alignment wrapText="1"/>
    </xf>
    <xf numFmtId="14" fontId="2" fillId="3" borderId="1" xfId="1" applyNumberFormat="1" applyFont="1" applyFill="1" applyAlignment="1">
      <alignment horizontal="left" vertical="center"/>
    </xf>
  </cellXfs>
  <cellStyles count="2">
    <cellStyle name="Normal" xfId="0" builtinId="0"/>
    <cellStyle name="Vérification" xfId="1" builtinId="23"/>
  </cellStyles>
  <dxfs count="44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ont>
        <color rgb="FF00B0F0"/>
      </font>
    </dxf>
    <dxf>
      <fill>
        <gradientFill degree="90">
          <stop position="0">
            <color rgb="FF00B0F0"/>
          </stop>
          <stop position="1">
            <color rgb="FF00B050"/>
          </stop>
        </gradientFill>
      </fill>
    </dxf>
    <dxf>
      <fill>
        <patternFill>
          <bgColor theme="1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rgb="FF00B0F0"/>
          </stop>
          <stop position="1">
            <color rgb="FF00B050"/>
          </stop>
        </gradientFill>
      </fill>
    </dxf>
    <dxf>
      <font>
        <color rgb="FF00B0F0"/>
      </font>
    </dxf>
    <dxf>
      <fill>
        <gradientFill degree="90">
          <stop position="0">
            <color rgb="FF00B0F0"/>
          </stop>
          <stop position="1">
            <color rgb="FF00B050"/>
          </stop>
        </gradientFill>
      </fill>
    </dxf>
    <dxf>
      <fill>
        <patternFill>
          <bgColor theme="1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1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AD5A-10C3-4574-B9A4-2D5EA70E0B0B}">
  <dimension ref="A1:U9"/>
  <sheetViews>
    <sheetView tabSelected="1" topLeftCell="C1" zoomScale="130" zoomScaleNormal="130" workbookViewId="0">
      <selection activeCell="H6" sqref="H6"/>
    </sheetView>
  </sheetViews>
  <sheetFormatPr baseColWidth="10" defaultRowHeight="14.4" x14ac:dyDescent="0.3"/>
  <cols>
    <col min="2" max="2" width="14.44140625" bestFit="1" customWidth="1"/>
    <col min="3" max="3" width="12.33203125" customWidth="1"/>
    <col min="4" max="4" width="10.77734375" customWidth="1"/>
    <col min="5" max="5" width="12.33203125" customWidth="1"/>
    <col min="10" max="10" width="12.109375" customWidth="1"/>
    <col min="21" max="21" width="19.5546875" bestFit="1" customWidth="1"/>
  </cols>
  <sheetData>
    <row r="1" spans="1:21" s="5" customFormat="1" ht="44.4" thickTop="1" thickBot="1" x14ac:dyDescent="0.35">
      <c r="A1" s="4" t="s">
        <v>0</v>
      </c>
      <c r="B1" s="4" t="s">
        <v>20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19</v>
      </c>
      <c r="I1" s="4" t="s">
        <v>21</v>
      </c>
      <c r="J1" s="4" t="s">
        <v>22</v>
      </c>
      <c r="K1" s="4" t="s">
        <v>23</v>
      </c>
      <c r="L1" s="9" t="s">
        <v>24</v>
      </c>
      <c r="M1" s="9"/>
      <c r="N1" s="9"/>
      <c r="O1" s="9"/>
      <c r="P1" s="9"/>
      <c r="Q1" s="9"/>
      <c r="R1" s="9"/>
      <c r="S1" s="9"/>
      <c r="T1" s="9"/>
      <c r="U1" s="4" t="s">
        <v>25</v>
      </c>
    </row>
    <row r="2" spans="1:21" s="5" customFormat="1" ht="15.6" hidden="1" thickTop="1" thickBo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0">
        <v>46143</v>
      </c>
      <c r="M2" s="10">
        <v>46144</v>
      </c>
      <c r="N2" s="10">
        <v>46145</v>
      </c>
      <c r="O2" s="10">
        <v>46146</v>
      </c>
      <c r="P2" s="10">
        <v>46147</v>
      </c>
      <c r="Q2" s="10">
        <v>46148</v>
      </c>
      <c r="R2" s="10">
        <v>46149</v>
      </c>
      <c r="S2" s="10">
        <v>46150</v>
      </c>
      <c r="T2" s="10">
        <v>46151</v>
      </c>
      <c r="U2" s="11"/>
    </row>
    <row r="3" spans="1:21" ht="15.6" thickTop="1" thickBot="1" x14ac:dyDescent="0.35">
      <c r="A3" s="1">
        <v>1</v>
      </c>
      <c r="B3" s="6" t="s">
        <v>6</v>
      </c>
      <c r="C3" s="1" t="s">
        <v>7</v>
      </c>
      <c r="D3" s="1">
        <v>2</v>
      </c>
      <c r="E3" s="2">
        <v>46143</v>
      </c>
      <c r="F3" s="1" t="s">
        <v>8</v>
      </c>
      <c r="G3" s="1">
        <v>6</v>
      </c>
      <c r="H3" s="3" t="str">
        <f ca="1">IF(I3&lt;TODAY(),"TERMINÉ",IF(E3&lt;=TODAY(),"EN COURS","PLANIFIÉ"))</f>
        <v>PLANIFIÉ</v>
      </c>
      <c r="I3" s="8">
        <f>E3+D3</f>
        <v>46145</v>
      </c>
      <c r="J3" s="3">
        <f>IF(F3="Haute",3,IF(F3="Moyenne",2,1))</f>
        <v>3</v>
      </c>
      <c r="K3" s="3" t="str">
        <f>IF(G3&gt;6,"SURCHARGE","OK")</f>
        <v>OK</v>
      </c>
      <c r="L3" s="2" t="str">
        <f>IF(AND(L$2&gt;=$E3,L$2&lt;=$I3),"■","")</f>
        <v>■</v>
      </c>
      <c r="M3" s="2" t="str">
        <f t="shared" ref="M3:T7" si="0">IF(AND(M$2&gt;=$E3,M$2&lt;=$I3),"■","")</f>
        <v>■</v>
      </c>
      <c r="N3" s="2" t="str">
        <f t="shared" si="0"/>
        <v>■</v>
      </c>
      <c r="O3" s="2" t="str">
        <f t="shared" si="0"/>
        <v/>
      </c>
      <c r="P3" s="2" t="str">
        <f t="shared" si="0"/>
        <v/>
      </c>
      <c r="Q3" s="2" t="str">
        <f t="shared" si="0"/>
        <v/>
      </c>
      <c r="R3" s="2" t="str">
        <f t="shared" si="0"/>
        <v/>
      </c>
      <c r="S3" s="2" t="str">
        <f t="shared" si="0"/>
        <v/>
      </c>
      <c r="T3" s="2" t="str">
        <f t="shared" si="0"/>
        <v/>
      </c>
      <c r="U3" s="12" t="str">
        <f>IF(AND(F3="Haute",G3&gt;6),"Réaffecter ressources",
IF(F3="Haute","Traiter en urgence","Normal"))</f>
        <v>Traiter en urgence</v>
      </c>
    </row>
    <row r="4" spans="1:21" ht="15.6" thickTop="1" thickBot="1" x14ac:dyDescent="0.35">
      <c r="A4" s="1">
        <v>2</v>
      </c>
      <c r="B4" s="6" t="s">
        <v>9</v>
      </c>
      <c r="C4" s="1" t="s">
        <v>10</v>
      </c>
      <c r="D4" s="1">
        <v>3</v>
      </c>
      <c r="E4" s="2">
        <v>46144</v>
      </c>
      <c r="F4" s="1" t="s">
        <v>11</v>
      </c>
      <c r="G4" s="1">
        <v>4</v>
      </c>
      <c r="H4" s="3" t="str">
        <f t="shared" ref="H4:H7" ca="1" si="1">IF(I4&lt;TODAY(),"TERMINÉ",IF(E4&lt;=TODAY(),"EN COURS","PLANIFIÉ"))</f>
        <v>PLANIFIÉ</v>
      </c>
      <c r="I4" s="8">
        <f t="shared" ref="I4:I7" si="2">E4+D4</f>
        <v>46147</v>
      </c>
      <c r="J4" s="3">
        <f t="shared" ref="J4:J7" si="3">IF(F4="Haute",3,IF(F4="Moyenne",2,1))</f>
        <v>2</v>
      </c>
      <c r="K4" s="3" t="str">
        <f t="shared" ref="K4:K7" si="4">IF(G4&gt;6,"SURCHARGE","OK")</f>
        <v>OK</v>
      </c>
      <c r="L4" s="2" t="str">
        <f t="shared" ref="L4:L7" si="5">IF(AND(L$2&gt;=$E4,L$2&lt;=$I4),"■","")</f>
        <v/>
      </c>
      <c r="M4" s="2" t="str">
        <f t="shared" si="0"/>
        <v>■</v>
      </c>
      <c r="N4" s="2" t="str">
        <f t="shared" si="0"/>
        <v>■</v>
      </c>
      <c r="O4" s="2" t="str">
        <f t="shared" si="0"/>
        <v>■</v>
      </c>
      <c r="P4" s="2" t="str">
        <f t="shared" si="0"/>
        <v>■</v>
      </c>
      <c r="Q4" s="2" t="str">
        <f t="shared" si="0"/>
        <v/>
      </c>
      <c r="R4" s="2" t="str">
        <f t="shared" si="0"/>
        <v/>
      </c>
      <c r="S4" s="2" t="str">
        <f t="shared" si="0"/>
        <v/>
      </c>
      <c r="T4" s="2" t="str">
        <f t="shared" si="0"/>
        <v/>
      </c>
      <c r="U4" s="12" t="str">
        <f t="shared" ref="U4:U7" si="6">IF(AND(F4="Haute",G4&gt;6),"Réaffecter ressources",
IF(F4="Haute","Traiter en urgence","Normal"))</f>
        <v>Normal</v>
      </c>
    </row>
    <row r="5" spans="1:21" ht="15.6" thickTop="1" thickBot="1" x14ac:dyDescent="0.35">
      <c r="A5" s="1">
        <v>3</v>
      </c>
      <c r="B5" s="6" t="s">
        <v>12</v>
      </c>
      <c r="C5" s="1" t="s">
        <v>13</v>
      </c>
      <c r="D5" s="1">
        <v>5</v>
      </c>
      <c r="E5" s="2">
        <v>46145</v>
      </c>
      <c r="F5" s="1" t="s">
        <v>8</v>
      </c>
      <c r="G5" s="1">
        <v>8</v>
      </c>
      <c r="H5" s="3" t="str">
        <f t="shared" ca="1" si="1"/>
        <v>PLANIFIÉ</v>
      </c>
      <c r="I5" s="8">
        <f t="shared" si="2"/>
        <v>46150</v>
      </c>
      <c r="J5" s="3">
        <f t="shared" si="3"/>
        <v>3</v>
      </c>
      <c r="K5" s="3" t="str">
        <f t="shared" si="4"/>
        <v>SURCHARGE</v>
      </c>
      <c r="L5" s="2" t="str">
        <f t="shared" si="5"/>
        <v/>
      </c>
      <c r="M5" s="2" t="str">
        <f t="shared" si="0"/>
        <v/>
      </c>
      <c r="N5" s="2" t="str">
        <f t="shared" si="0"/>
        <v>■</v>
      </c>
      <c r="O5" s="2" t="str">
        <f t="shared" si="0"/>
        <v>■</v>
      </c>
      <c r="P5" s="2" t="str">
        <f t="shared" si="0"/>
        <v>■</v>
      </c>
      <c r="Q5" s="2" t="str">
        <f t="shared" si="0"/>
        <v>■</v>
      </c>
      <c r="R5" s="2" t="str">
        <f t="shared" si="0"/>
        <v>■</v>
      </c>
      <c r="S5" s="2" t="str">
        <f t="shared" si="0"/>
        <v>■</v>
      </c>
      <c r="T5" s="2" t="str">
        <f t="shared" si="0"/>
        <v/>
      </c>
      <c r="U5" s="12" t="str">
        <f t="shared" si="6"/>
        <v>Réaffecter ressources</v>
      </c>
    </row>
    <row r="6" spans="1:21" ht="15.6" thickTop="1" thickBot="1" x14ac:dyDescent="0.35">
      <c r="A6" s="1">
        <v>4</v>
      </c>
      <c r="B6" s="6" t="s">
        <v>14</v>
      </c>
      <c r="C6" s="1" t="s">
        <v>15</v>
      </c>
      <c r="D6" s="1">
        <v>2</v>
      </c>
      <c r="E6" s="2">
        <v>46148</v>
      </c>
      <c r="F6" s="1" t="s">
        <v>16</v>
      </c>
      <c r="G6" s="1">
        <v>3</v>
      </c>
      <c r="H6" s="3" t="str">
        <f t="shared" ca="1" si="1"/>
        <v>PLANIFIÉ</v>
      </c>
      <c r="I6" s="8">
        <f t="shared" si="2"/>
        <v>46150</v>
      </c>
      <c r="J6" s="3">
        <f t="shared" si="3"/>
        <v>1</v>
      </c>
      <c r="K6" s="3" t="str">
        <f t="shared" si="4"/>
        <v>OK</v>
      </c>
      <c r="L6" s="2" t="str">
        <f t="shared" si="5"/>
        <v/>
      </c>
      <c r="M6" s="2" t="str">
        <f t="shared" si="0"/>
        <v/>
      </c>
      <c r="N6" s="2" t="str">
        <f t="shared" si="0"/>
        <v/>
      </c>
      <c r="O6" s="2" t="str">
        <f t="shared" si="0"/>
        <v/>
      </c>
      <c r="P6" s="2" t="str">
        <f t="shared" si="0"/>
        <v/>
      </c>
      <c r="Q6" s="2" t="str">
        <f t="shared" si="0"/>
        <v>■</v>
      </c>
      <c r="R6" s="2" t="str">
        <f t="shared" si="0"/>
        <v>■</v>
      </c>
      <c r="S6" s="2" t="str">
        <f t="shared" si="0"/>
        <v>■</v>
      </c>
      <c r="T6" s="2" t="str">
        <f t="shared" si="0"/>
        <v/>
      </c>
      <c r="U6" s="12" t="str">
        <f t="shared" si="6"/>
        <v>Normal</v>
      </c>
    </row>
    <row r="7" spans="1:21" ht="15.6" thickTop="1" thickBot="1" x14ac:dyDescent="0.35">
      <c r="A7" s="1">
        <v>5</v>
      </c>
      <c r="B7" s="6" t="s">
        <v>17</v>
      </c>
      <c r="C7" s="1" t="s">
        <v>18</v>
      </c>
      <c r="D7" s="1">
        <v>1</v>
      </c>
      <c r="E7" s="2">
        <v>46150</v>
      </c>
      <c r="F7" s="1" t="s">
        <v>8</v>
      </c>
      <c r="G7" s="1">
        <v>7</v>
      </c>
      <c r="H7" s="3" t="str">
        <f t="shared" ca="1" si="1"/>
        <v>PLANIFIÉ</v>
      </c>
      <c r="I7" s="8">
        <f t="shared" si="2"/>
        <v>46151</v>
      </c>
      <c r="J7" s="3">
        <f t="shared" si="3"/>
        <v>3</v>
      </c>
      <c r="K7" s="3" t="str">
        <f t="shared" si="4"/>
        <v>SURCHARGE</v>
      </c>
      <c r="L7" s="2" t="str">
        <f t="shared" si="5"/>
        <v/>
      </c>
      <c r="M7" s="2" t="str">
        <f t="shared" si="0"/>
        <v/>
      </c>
      <c r="N7" s="2" t="str">
        <f t="shared" si="0"/>
        <v/>
      </c>
      <c r="O7" s="2" t="str">
        <f t="shared" si="0"/>
        <v/>
      </c>
      <c r="P7" s="2" t="str">
        <f t="shared" si="0"/>
        <v/>
      </c>
      <c r="Q7" s="2" t="str">
        <f t="shared" si="0"/>
        <v/>
      </c>
      <c r="R7" s="2" t="str">
        <f t="shared" si="0"/>
        <v/>
      </c>
      <c r="S7" s="2" t="str">
        <f t="shared" si="0"/>
        <v>■</v>
      </c>
      <c r="T7" s="2" t="str">
        <f t="shared" si="0"/>
        <v>■</v>
      </c>
      <c r="U7" s="12" t="str">
        <f t="shared" si="6"/>
        <v>Réaffecter ressources</v>
      </c>
    </row>
    <row r="8" spans="1:21" ht="15" thickTop="1" x14ac:dyDescent="0.3">
      <c r="L8" s="7"/>
      <c r="M8" s="7"/>
      <c r="N8" s="7"/>
      <c r="O8" s="7"/>
      <c r="P8" s="7"/>
      <c r="Q8" s="7"/>
      <c r="R8" s="7"/>
      <c r="S8" s="7"/>
    </row>
    <row r="9" spans="1:21" x14ac:dyDescent="0.3">
      <c r="L9" s="7"/>
      <c r="M9" s="7"/>
      <c r="N9" s="7"/>
      <c r="O9" s="7"/>
      <c r="P9" s="7"/>
      <c r="Q9" s="7"/>
      <c r="R9" s="7"/>
      <c r="S9" s="7"/>
    </row>
  </sheetData>
  <mergeCells count="1">
    <mergeCell ref="L1:T1"/>
  </mergeCells>
  <conditionalFormatting sqref="B3:G7">
    <cfRule type="containsText" dxfId="40" priority="14" operator="containsText" text="TERMINE">
      <formula>NOT(ISERROR(SEARCH("TERMINE",B3)))</formula>
    </cfRule>
    <cfRule type="containsText" dxfId="39" priority="15" operator="containsText" text="EN COURS">
      <formula>NOT(ISERROR(SEARCH("EN COURS",B3)))</formula>
    </cfRule>
    <cfRule type="containsText" dxfId="38" priority="16" operator="containsText" text="SURCHARGE">
      <formula>NOT(ISERROR(SEARCH("SURCHARGE",B3)))</formula>
    </cfRule>
  </conditionalFormatting>
  <conditionalFormatting sqref="L3:T7">
    <cfRule type="containsText" dxfId="21" priority="5" operator="containsText" text="A">
      <formula>NOT(ISERROR(SEARCH("A",L3)))</formula>
    </cfRule>
    <cfRule type="containsText" dxfId="20" priority="4" operator="containsText" text="A">
      <formula>NOT(ISERROR(SEARCH("A",L3)))</formula>
    </cfRule>
  </conditionalFormatting>
  <conditionalFormatting sqref="A1:U7">
    <cfRule type="containsText" dxfId="3" priority="3" operator="containsText" text="SURCHARGE">
      <formula>NOT(ISERROR(SEARCH("SURCHARGE",A1)))</formula>
    </cfRule>
    <cfRule type="containsText" dxfId="4" priority="2" operator="containsText" text="EN COURS">
      <formula>NOT(ISERROR(SEARCH("EN COURS",A1)))</formula>
    </cfRule>
    <cfRule type="containsText" dxfId="2" priority="1" operator="containsText" text="TERMINÉ">
      <formula>NOT(ISERROR(SEARCH("TERMINÉ",A1)))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TP2(Carmel)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kayodecarmeltchacon@gmail.com</dc:creator>
  <cp:lastModifiedBy>kayodecarmeltchacon@gmail.com</cp:lastModifiedBy>
  <dcterms:created xsi:type="dcterms:W3CDTF">2026-04-04T08:05:18Z</dcterms:created>
  <dcterms:modified xsi:type="dcterms:W3CDTF">2026-04-04T11:01:22Z</dcterms:modified>
</cp:coreProperties>
</file>