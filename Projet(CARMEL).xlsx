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7fc9077fab229/Desktop/ROMUL/Programmation web/"/>
    </mc:Choice>
  </mc:AlternateContent>
  <xr:revisionPtr revIDLastSave="1" documentId="14_{47F8317B-A12E-40DB-9BE0-89743B73A009}" xr6:coauthVersionLast="47" xr6:coauthVersionMax="47" xr10:uidLastSave="{62DA4CB6-AE27-4841-AFCB-BC236C826A6D}"/>
  <bookViews>
    <workbookView xWindow="-108" yWindow="-108" windowWidth="23256" windowHeight="13176" firstSheet="1" activeTab="2" xr2:uid="{1A5312E3-8255-49AC-B9DF-E6E224623AEF}"/>
  </bookViews>
  <sheets>
    <sheet name="STOCK_GLOBAL" sheetId="1" r:id="rId1"/>
    <sheet name="DISTANCE" sheetId="6" r:id="rId2"/>
    <sheet name="DEMANDE_SITE" sheetId="2" r:id="rId3"/>
    <sheet name="TRANSFERTS (coeur du système)" sheetId="3" r:id="rId4"/>
    <sheet name="TABLEAU DE BORD" sheetId="4" r:id="rId5"/>
  </sheets>
  <definedNames>
    <definedName name="aa">STOCK_GLOBAL!$C$2:$F$4</definedName>
    <definedName name="CC">STOCK_GLOBAL!$E$2:$F$4</definedName>
    <definedName name="RECH">STOCK_GLOBAL!$I$2:$J$4</definedName>
    <definedName name="recher">STOCK_GLOBAL!$A$2:$G$4</definedName>
    <definedName name="RECHERCHER">STOCK_GLOBAL!$A$1:$I$4</definedName>
    <definedName name="recherRup">STOCK_GLOBAL!$F$2:$J$4</definedName>
    <definedName name="recherSup">STOCK_GLOBAL!$G$2:$J$4</definedName>
    <definedName name="Rupture">STOCK_GLOBAL!$F$2:$F$4</definedName>
    <definedName name="Surplus">STOCK_GLOBAL!$G$2:$G$4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B7" i="4" s="1"/>
  <c r="E5" i="3"/>
  <c r="B5" i="4"/>
  <c r="D8" i="3" l="1"/>
  <c r="F2" i="1" l="1"/>
  <c r="G3" i="1"/>
  <c r="G4" i="1"/>
  <c r="G2" i="1"/>
  <c r="F3" i="1"/>
  <c r="F4" i="1"/>
  <c r="H3" i="1" l="1"/>
  <c r="B6" i="4"/>
  <c r="D5" i="3"/>
  <c r="I3" i="1"/>
  <c r="I4" i="1"/>
  <c r="H4" i="1"/>
  <c r="F5" i="3"/>
  <c r="I2" i="1"/>
  <c r="H2" i="1"/>
</calcChain>
</file>

<file path=xl/sharedStrings.xml><?xml version="1.0" encoding="utf-8"?>
<sst xmlns="http://schemas.openxmlformats.org/spreadsheetml/2006/main" count="46" uniqueCount="32">
  <si>
    <t>Produit</t>
  </si>
  <si>
    <t>Site</t>
  </si>
  <si>
    <t>Stock actuel</t>
  </si>
  <si>
    <t>Stock minimum</t>
  </si>
  <si>
    <t>Stock maximum</t>
  </si>
  <si>
    <t>P1</t>
  </si>
  <si>
    <t>Site C</t>
  </si>
  <si>
    <t>Site A</t>
  </si>
  <si>
    <t>Site B</t>
  </si>
  <si>
    <t>Demande journalière</t>
  </si>
  <si>
    <t>Site source</t>
  </si>
  <si>
    <t>Quantité</t>
  </si>
  <si>
    <t>Statut</t>
  </si>
  <si>
    <t>Détection des ruptures</t>
  </si>
  <si>
    <t>Détection des Surplus</t>
  </si>
  <si>
    <t>Stock total</t>
  </si>
  <si>
    <t>Nombre de ruptures</t>
  </si>
  <si>
    <t>Transferts en cours</t>
  </si>
  <si>
    <t>Alertes</t>
  </si>
  <si>
    <t>Proposition de transfert</t>
  </si>
  <si>
    <t>Quantité à transférer</t>
  </si>
  <si>
    <t>Source</t>
  </si>
  <si>
    <t>Destination</t>
  </si>
  <si>
    <t>Distance</t>
  </si>
  <si>
    <t>A</t>
  </si>
  <si>
    <t>B</t>
  </si>
  <si>
    <t>C</t>
  </si>
  <si>
    <t>10 km</t>
  </si>
  <si>
    <t>25 km</t>
  </si>
  <si>
    <t>Site de destination</t>
  </si>
  <si>
    <t>Indicateurs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</si>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</sst>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0" fillId="0" borderId="6" xfId="0" applyBorder="1" applyAlignment="1">
      <alignment horizontal="center" vertical="center"/>
    </xf>
    <xf numFmtId="0" fontId="2" fillId="0" borderId="7" xfId="0" applyFont="1" applyBorder="1"/>
    <xf numFmtId="0" fontId="5" fillId="2" borderId="0" xfId="0" applyFont="1" applyFill="1"/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/>
    <xf numFmtId="0" fontId="0" fillId="0" borderId="1" xfId="0" applyFon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actuel par site</a:t>
            </a:r>
          </a:p>
        </c:rich>
      </c:tx>
      <c:layout>
        <c:manualLayout>
          <c:xMode val="edge"/>
          <c:yMode val="edge"/>
          <c:x val="0.1892012248468941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19895851560221639"/>
          <c:w val="0.89019685039370078"/>
          <c:h val="0.6209649314669000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STOCK_GLOBAL!$A$2:$B$4</c:f>
              <c:multiLvlStrCache>
                <c:ptCount val="3"/>
                <c:lvl>
                  <c:pt idx="0">
                    <c:v>Site A</c:v>
                  </c:pt>
                  <c:pt idx="1">
                    <c:v>Site B</c:v>
                  </c:pt>
                  <c:pt idx="2">
                    <c:v>Site C</c:v>
                  </c:pt>
                </c:lvl>
                <c:lvl>
                  <c:pt idx="0">
                    <c:v>P1</c:v>
                  </c:pt>
                  <c:pt idx="1">
                    <c:v>P1</c:v>
                  </c:pt>
                  <c:pt idx="2">
                    <c:v>P1</c:v>
                  </c:pt>
                </c:lvl>
              </c:multiLvlStrCache>
            </c:multiLvlStrRef>
          </c:cat>
          <c:val>
            <c:numRef>
              <c:f>STOCK_GLOBAL!$C$2:$C$4</c:f>
              <c:numCache>
                <c:formatCode>General</c:formatCode>
                <c:ptCount val="3"/>
                <c:pt idx="0">
                  <c:v>50</c:v>
                </c:pt>
                <c:pt idx="1">
                  <c:v>20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1-4ADC-94F1-C2CA7250D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27157648"/>
        <c:axId val="1109813392"/>
      </c:barChart>
      <c:catAx>
        <c:axId val="122715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1109813392"/>
        <c:crosses val="autoZero"/>
        <c:auto val="1"/>
        <c:lblAlgn val="ctr"/>
        <c:lblOffset val="100"/>
        <c:noMultiLvlLbl val="0"/>
      </c:catAx>
      <c:valAx>
        <c:axId val="110981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122715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4</xdr:row>
      <xdr:rowOff>30480</xdr:rowOff>
    </xdr:from>
    <xdr:to>
      <xdr:col>8</xdr:col>
      <xdr:colOff>434340</xdr:colOff>
      <xdr:row>18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F142F4-F0C1-4ECE-A5CB-E96EF83F1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196A-9291-4977-9A69-B272DCE31104}">
  <sheetPr codeName="Feuil1"/>
  <dimension ref="A1:J4"/>
  <sheetViews>
    <sheetView workbookViewId="0">
      <selection activeCell="I3" sqref="I3"/>
    </sheetView>
  </sheetViews>
  <sheetFormatPr baseColWidth="10" defaultRowHeight="14.4" x14ac:dyDescent="0.3"/>
  <cols>
    <col min="2" max="2" width="6.88671875" bestFit="1" customWidth="1"/>
    <col min="3" max="3" width="7.33203125" customWidth="1"/>
    <col min="5" max="5" width="13.44140625" bestFit="1" customWidth="1"/>
    <col min="6" max="6" width="13.88671875" customWidth="1"/>
    <col min="8" max="8" width="13.88671875" customWidth="1"/>
    <col min="9" max="9" width="22.77734375" bestFit="1" customWidth="1"/>
  </cols>
  <sheetData>
    <row r="1" spans="1:10" s="1" customFormat="1" ht="46.8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13</v>
      </c>
      <c r="G1" s="17" t="s">
        <v>14</v>
      </c>
      <c r="H1" s="17" t="s">
        <v>19</v>
      </c>
      <c r="I1" s="18" t="s">
        <v>20</v>
      </c>
    </row>
    <row r="2" spans="1:10" ht="15.6" x14ac:dyDescent="0.3">
      <c r="A2" s="19" t="s">
        <v>5</v>
      </c>
      <c r="B2" s="2" t="s">
        <v>7</v>
      </c>
      <c r="C2" s="2">
        <v>50</v>
      </c>
      <c r="D2" s="2">
        <v>30</v>
      </c>
      <c r="E2" s="2">
        <v>80</v>
      </c>
      <c r="F2" s="2" t="str">
        <f>IF(C2&lt;D2,"RUPTURE","OK")</f>
        <v>OK</v>
      </c>
      <c r="G2" s="2" t="str">
        <f>IF(C2&gt;E2,"SURPLUS","NORMAL")</f>
        <v>NORMAL</v>
      </c>
      <c r="H2" s="2" t="str">
        <f>IF(OR(F2="RUPTURE",G2="SURPLUS"),"TRANSFERT","")</f>
        <v/>
      </c>
      <c r="I2" s="20" t="str">
        <f>IFERROR(VALUE(IF(F2="RUPTURE","",IF(G2="SURPLUS",C2-E2,""))),"")</f>
        <v/>
      </c>
      <c r="J2" s="22" t="s">
        <v>7</v>
      </c>
    </row>
    <row r="3" spans="1:10" ht="15.6" x14ac:dyDescent="0.3">
      <c r="A3" s="19" t="s">
        <v>5</v>
      </c>
      <c r="B3" s="2" t="s">
        <v>8</v>
      </c>
      <c r="C3" s="2">
        <v>20</v>
      </c>
      <c r="D3" s="2">
        <v>30</v>
      </c>
      <c r="E3" s="2">
        <v>80</v>
      </c>
      <c r="F3" s="2" t="str">
        <f t="shared" ref="F3:F4" si="0">IF(C3&lt;D3,"RUPTURE","OK")</f>
        <v>RUPTURE</v>
      </c>
      <c r="G3" s="2" t="str">
        <f t="shared" ref="G3:G4" si="1">IF(C3&gt;E3,"SURPLUS","NORMAL")</f>
        <v>NORMAL</v>
      </c>
      <c r="H3" s="2" t="str">
        <f>IF(OR(F3="RUPTURE",G3="SURPLUS"),"TRANSFERT","")</f>
        <v>TRANSFERT</v>
      </c>
      <c r="I3" s="20" t="str">
        <f t="shared" ref="I3:I4" si="2">IFERROR(VALUE(IF(F3="RUPTURE","",IF(G3="SURPLUS",C3-E3,""))),"")</f>
        <v/>
      </c>
      <c r="J3" s="22" t="s">
        <v>8</v>
      </c>
    </row>
    <row r="4" spans="1:10" ht="16.2" thickBot="1" x14ac:dyDescent="0.35">
      <c r="A4" s="21" t="s">
        <v>5</v>
      </c>
      <c r="B4" s="9" t="s">
        <v>6</v>
      </c>
      <c r="C4" s="2">
        <v>90</v>
      </c>
      <c r="D4" s="9">
        <v>30</v>
      </c>
      <c r="E4" s="9">
        <v>80</v>
      </c>
      <c r="F4" s="9" t="str">
        <f t="shared" si="0"/>
        <v>OK</v>
      </c>
      <c r="G4" s="9" t="str">
        <f t="shared" si="1"/>
        <v>SURPLUS</v>
      </c>
      <c r="H4" s="9" t="str">
        <f t="shared" ref="H3:H4" si="3">IF(OR(F4="RUPTURE",G4="SURPLUS"),"TRANSFERT","")</f>
        <v>TRANSFERT</v>
      </c>
      <c r="I4" s="20">
        <f t="shared" si="2"/>
        <v>10</v>
      </c>
      <c r="J4" s="22" t="s">
        <v>6</v>
      </c>
    </row>
  </sheetData>
  <phoneticPr fontId="1" type="noConversion"/>
  <conditionalFormatting sqref="E2:E4 C2:C4">
    <cfRule type="cellIs" dxfId="4" priority="4" operator="between">
      <formula>30</formula>
      <formula>50</formula>
    </cfRule>
  </conditionalFormatting>
  <conditionalFormatting sqref="C2:C4">
    <cfRule type="cellIs" dxfId="2" priority="2" operator="between">
      <formula>50</formula>
      <formula>80</formula>
    </cfRule>
    <cfRule type="cellIs" dxfId="1" priority="3" operator="lessThan">
      <formula>30</formula>
    </cfRule>
  </conditionalFormatting>
  <conditionalFormatting sqref="F2:F4">
    <cfRule type="containsText" dxfId="0" priority="1" operator="containsText" text="RUPTURE">
      <formula>NOT(ISERROR(SEARCH("RUPTURE",F2)))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28E7-8678-4F49-B193-FA110E3FCD7A}">
  <sheetPr codeName="Feuil3"/>
  <dimension ref="B1:D4"/>
  <sheetViews>
    <sheetView zoomScaleNormal="100" workbookViewId="0">
      <selection activeCell="B28" sqref="B28"/>
    </sheetView>
  </sheetViews>
  <sheetFormatPr baseColWidth="10" defaultRowHeight="14.4" x14ac:dyDescent="0.3"/>
  <sheetData>
    <row r="1" spans="2:4" ht="15" thickBot="1" x14ac:dyDescent="0.35"/>
    <row r="2" spans="2:4" ht="18" x14ac:dyDescent="0.35">
      <c r="B2" s="3" t="s">
        <v>21</v>
      </c>
      <c r="C2" s="4" t="s">
        <v>22</v>
      </c>
      <c r="D2" s="5" t="s">
        <v>23</v>
      </c>
    </row>
    <row r="3" spans="2:4" x14ac:dyDescent="0.3">
      <c r="B3" s="6" t="s">
        <v>24</v>
      </c>
      <c r="C3" s="2" t="s">
        <v>25</v>
      </c>
      <c r="D3" s="7" t="s">
        <v>27</v>
      </c>
    </row>
    <row r="4" spans="2:4" ht="15" thickBot="1" x14ac:dyDescent="0.35">
      <c r="B4" s="8" t="s">
        <v>24</v>
      </c>
      <c r="C4" s="9" t="s">
        <v>26</v>
      </c>
      <c r="D4" s="10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DD6F-BA20-4BF1-A8C5-5D748C9824A3}">
  <sheetPr codeName="Feuil4"/>
  <dimension ref="B2:D5"/>
  <sheetViews>
    <sheetView tabSelected="1" workbookViewId="0">
      <selection activeCell="H16" sqref="H16"/>
    </sheetView>
  </sheetViews>
  <sheetFormatPr baseColWidth="10" defaultRowHeight="14.4" x14ac:dyDescent="0.3"/>
  <cols>
    <col min="4" max="4" width="18.109375" bestFit="1" customWidth="1"/>
  </cols>
  <sheetData>
    <row r="2" spans="2:4" ht="15" thickBot="1" x14ac:dyDescent="0.35"/>
    <row r="3" spans="2:4" ht="36" x14ac:dyDescent="0.3">
      <c r="B3" s="11" t="s">
        <v>1</v>
      </c>
      <c r="C3" s="12" t="s">
        <v>0</v>
      </c>
      <c r="D3" s="13" t="s">
        <v>9</v>
      </c>
    </row>
    <row r="4" spans="2:4" ht="18" x14ac:dyDescent="0.3">
      <c r="B4" s="14" t="s">
        <v>7</v>
      </c>
      <c r="C4" s="2" t="s">
        <v>5</v>
      </c>
      <c r="D4" s="7">
        <v>10</v>
      </c>
    </row>
    <row r="5" spans="2:4" ht="18.600000000000001" thickBot="1" x14ac:dyDescent="0.35">
      <c r="B5" s="15" t="s">
        <v>8</v>
      </c>
      <c r="C5" s="9" t="s">
        <v>5</v>
      </c>
      <c r="D5" s="10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0DC9-DEF0-47E4-9EC4-4D6D8ADAF8FB}">
  <sheetPr codeName="Feuil5"/>
  <dimension ref="B4:F8"/>
  <sheetViews>
    <sheetView workbookViewId="0">
      <selection activeCell="F7" sqref="F7"/>
    </sheetView>
  </sheetViews>
  <sheetFormatPr baseColWidth="10" defaultRowHeight="14.4" x14ac:dyDescent="0.3"/>
  <cols>
    <col min="3" max="3" width="13.5546875" bestFit="1" customWidth="1"/>
    <col min="4" max="4" width="12.77734375" customWidth="1"/>
    <col min="6" max="6" width="19.5546875" customWidth="1"/>
  </cols>
  <sheetData>
    <row r="4" spans="2:6" ht="54" x14ac:dyDescent="0.3">
      <c r="B4" s="23" t="s">
        <v>0</v>
      </c>
      <c r="C4" s="23" t="s">
        <v>10</v>
      </c>
      <c r="D4" s="23" t="s">
        <v>29</v>
      </c>
      <c r="E4" s="23" t="s">
        <v>11</v>
      </c>
      <c r="F4" s="23" t="s">
        <v>12</v>
      </c>
    </row>
    <row r="5" spans="2:6" x14ac:dyDescent="0.3">
      <c r="B5" s="2" t="s">
        <v>5</v>
      </c>
      <c r="C5" s="2" t="str">
        <f>IFERROR(VLOOKUP(IF(OR(STOCK_GLOBAL!G2="SURPLUS",STOCK_GLOBAL!G3="SURPLUS",STOCK_GLOBAL!G4="SURPLUS"),"SURPLUS",""),recherSup,4,FALSE),"")</f>
        <v>Site C</v>
      </c>
      <c r="D5" s="2" t="str">
        <f>IFERROR(VLOOKUP(IF(OR(STOCK_GLOBAL!F2="RUPTURE",STOCK_GLOBAL!F3="RUPTURE",STOCK_GLOBAL!F4="RUPTURE"),"RUPTURE",""),recherRup,5,FALSE),"")</f>
        <v>Site B</v>
      </c>
      <c r="E5" s="2">
        <f>IFERROR(VLOOKUP(IF(OR(STOCK_GLOBAL!G2="SURPLUS",STOCK_GLOBAL!G3="SURPLUS",STOCK_GLOBAL!G4="SURPLUS"),"SURPLUS",""),recherSup,3,FALSE),"")</f>
        <v>10</v>
      </c>
      <c r="F5" s="26" t="str">
        <f>IFERROR(IF(VALUE(E5)&lt;=0,"Transfert terminé","Transfert en cours"),"")</f>
        <v>Transfert en cours</v>
      </c>
    </row>
    <row r="8" spans="2:6" x14ac:dyDescent="0.3">
      <c r="D8" t="str">
        <f>IF(OR(STOCK_GLOBAL!I5&lt;0,STOCK_GLOBAL!I5=""),"",VLOOKUP(STOCK_GLOBAL!I5,RECH,2,FALSE))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A304-F0EA-40ED-9B11-59CE12E4F8ED}">
  <sheetPr codeName="Feuil6"/>
  <dimension ref="A3:D11"/>
  <sheetViews>
    <sheetView zoomScaleNormal="100" workbookViewId="0">
      <selection activeCell="B13" sqref="B13"/>
    </sheetView>
  </sheetViews>
  <sheetFormatPr baseColWidth="10" defaultRowHeight="14.4" x14ac:dyDescent="0.3"/>
  <cols>
    <col min="1" max="2" width="17.44140625" bestFit="1" customWidth="1"/>
    <col min="3" max="3" width="16.6640625" bestFit="1" customWidth="1"/>
  </cols>
  <sheetData>
    <row r="3" spans="1:4" x14ac:dyDescent="0.3">
      <c r="A3" s="24"/>
      <c r="B3" s="24"/>
      <c r="C3" s="24"/>
      <c r="D3" s="24"/>
    </row>
    <row r="4" spans="1:4" x14ac:dyDescent="0.3">
      <c r="A4" s="2" t="s">
        <v>30</v>
      </c>
      <c r="B4" s="2" t="s">
        <v>31</v>
      </c>
    </row>
    <row r="5" spans="1:4" x14ac:dyDescent="0.3">
      <c r="A5" s="2" t="s">
        <v>15</v>
      </c>
      <c r="B5" s="2">
        <f>SUM(STOCK_GLOBAL!C2:C4)</f>
        <v>160</v>
      </c>
    </row>
    <row r="6" spans="1:4" x14ac:dyDescent="0.3">
      <c r="A6" s="2" t="s">
        <v>16</v>
      </c>
      <c r="B6" s="2">
        <f>COUNTIF(STOCK_GLOBAL!F2:F4,"RUPTURE")</f>
        <v>1</v>
      </c>
    </row>
    <row r="7" spans="1:4" x14ac:dyDescent="0.3">
      <c r="A7" s="2" t="s">
        <v>17</v>
      </c>
      <c r="B7" s="26" t="str">
        <f>IFERROR(IF('TRANSFERTS (coeur du système)'!F5="Transfert en cours",CONCATENATE('TRANSFERTS (coeur du système)'!C5," vers le ",'TRANSFERTS (coeur du système)'!D5),"Pas de transfert en cours "),"")</f>
        <v>Site C vers le Site B</v>
      </c>
    </row>
    <row r="8" spans="1:4" x14ac:dyDescent="0.3">
      <c r="A8" s="2" t="s">
        <v>18</v>
      </c>
      <c r="B8" s="2"/>
    </row>
    <row r="11" spans="1:4" x14ac:dyDescent="0.3">
      <c r="C11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9</vt:i4>
      </vt:variant>
    </vt:vector>
  </HeadingPairs>
  <TitlesOfParts>
    <vt:vector size="14" baseType="lpstr">
      <vt:lpstr>STOCK_GLOBAL</vt:lpstr>
      <vt:lpstr>DISTANCE</vt:lpstr>
      <vt:lpstr>DEMANDE_SITE</vt:lpstr>
      <vt:lpstr>TRANSFERTS (coeur du système)</vt:lpstr>
      <vt:lpstr>TABLEAU DE BORD</vt:lpstr>
      <vt:lpstr>aa</vt:lpstr>
      <vt:lpstr>CC</vt:lpstr>
      <vt:lpstr>RECH</vt:lpstr>
      <vt:lpstr>recher</vt:lpstr>
      <vt:lpstr>RECHERCHER</vt:lpstr>
      <vt:lpstr>recherRup</vt:lpstr>
      <vt:lpstr>recherSup</vt:lpstr>
      <vt:lpstr>Rupture</vt:lpstr>
      <vt:lpstr>Surplus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kayodecarmeltchacon@gmail.com</dc:creator>
  <cp:lastModifiedBy>kayodecarmeltchacon@gmail.com</cp:lastModifiedBy>
  <dcterms:created xsi:type="dcterms:W3CDTF">2026-04-03T20:16:06Z</dcterms:created>
  <dcterms:modified xsi:type="dcterms:W3CDTF">2026-04-04T15:56:44Z</dcterms:modified>
</cp:coreProperties>
</file>